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cc37a6e6dec9f8/Schule/Klausiis/B2/"/>
    </mc:Choice>
  </mc:AlternateContent>
  <xr:revisionPtr revIDLastSave="281" documentId="8_{9DB5A3F4-1CCC-4CC6-B056-CB20F2A82DF3}" xr6:coauthVersionLast="47" xr6:coauthVersionMax="47" xr10:uidLastSave="{DE8E740F-9B4B-4A34-9EC5-B330549586DB}"/>
  <bookViews>
    <workbookView xWindow="-120" yWindow="-120" windowWidth="29040" windowHeight="15720" xr2:uid="{EF988427-DA05-439F-8170-53E23DED02E9}"/>
  </bookViews>
  <sheets>
    <sheet name="Ankreuz_Al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2" l="1" a="1"/>
  <c r="C4" i="2" s="1"/>
  <c r="C5" i="2" a="1"/>
  <c r="C5" i="2" s="1"/>
  <c r="C6" i="2" a="1"/>
  <c r="C6" i="2" s="1"/>
  <c r="C7" i="2" a="1"/>
  <c r="C7" i="2" s="1"/>
  <c r="C8" i="2" a="1"/>
  <c r="C8" i="2"/>
  <c r="C9" i="2" a="1"/>
  <c r="C9" i="2" s="1"/>
  <c r="C10" i="2" a="1"/>
  <c r="C10" i="2"/>
  <c r="C11" i="2" a="1"/>
  <c r="C11" i="2"/>
  <c r="C12" i="2" a="1"/>
  <c r="C12" i="2" s="1"/>
  <c r="C13" i="2" a="1"/>
  <c r="C13" i="2" s="1"/>
  <c r="C14" i="2" a="1"/>
  <c r="C14" i="2" s="1"/>
  <c r="C15" i="2" a="1"/>
  <c r="C15" i="2" s="1"/>
  <c r="C16" i="2" a="1"/>
  <c r="C16" i="2"/>
  <c r="C17" i="2" a="1"/>
  <c r="C17" i="2"/>
  <c r="C18" i="2" a="1"/>
  <c r="C18" i="2"/>
  <c r="C19" i="2" a="1"/>
  <c r="C19" i="2"/>
  <c r="C20" i="2" a="1"/>
  <c r="C20" i="2" s="1"/>
  <c r="C21" i="2" a="1"/>
  <c r="C21" i="2" s="1"/>
  <c r="C22" i="2" a="1"/>
  <c r="C22" i="2" s="1"/>
  <c r="C23" i="2" a="1"/>
  <c r="C23" i="2" s="1"/>
  <c r="C24" i="2" a="1"/>
  <c r="C24" i="2"/>
  <c r="C25" i="2" a="1"/>
  <c r="C25" i="2"/>
  <c r="C26" i="2" a="1"/>
  <c r="C26" i="2"/>
  <c r="C27" i="2" a="1"/>
  <c r="C27" i="2"/>
  <c r="C28" i="2" a="1"/>
  <c r="C28" i="2" s="1"/>
  <c r="C29" i="2" a="1"/>
  <c r="C29" i="2" s="1"/>
  <c r="C30" i="2" a="1"/>
  <c r="C30" i="2" s="1"/>
  <c r="C31" i="2" a="1"/>
  <c r="C31" i="2" s="1"/>
  <c r="C32" i="2" a="1"/>
  <c r="C32" i="2"/>
  <c r="C33" i="2" a="1"/>
  <c r="C33" i="2"/>
  <c r="C34" i="2" a="1"/>
  <c r="C34" i="2"/>
  <c r="C35" i="2" a="1"/>
  <c r="C35" i="2"/>
  <c r="C36" i="2" a="1"/>
  <c r="C36" i="2" s="1"/>
  <c r="C37" i="2" a="1"/>
  <c r="C37" i="2" s="1"/>
  <c r="C38" i="2" a="1"/>
  <c r="C38" i="2" s="1"/>
  <c r="C39" i="2" a="1"/>
  <c r="C39" i="2" s="1"/>
  <c r="C40" i="2" a="1"/>
  <c r="C40" i="2"/>
  <c r="C41" i="2" a="1"/>
  <c r="C41" i="2"/>
  <c r="C42" i="2" a="1"/>
  <c r="C42" i="2"/>
  <c r="C43" i="2" a="1"/>
  <c r="C43" i="2"/>
  <c r="C44" i="2" a="1"/>
  <c r="C44" i="2" s="1"/>
  <c r="C45" i="2" a="1"/>
  <c r="C45" i="2" s="1"/>
  <c r="C46" i="2" a="1"/>
  <c r="C46" i="2" s="1"/>
  <c r="C47" i="2" a="1"/>
  <c r="C47" i="2" s="1"/>
  <c r="C48" i="2" a="1"/>
  <c r="C48" i="2"/>
  <c r="C49" i="2" a="1"/>
  <c r="C49" i="2"/>
  <c r="C50" i="2" a="1"/>
  <c r="C50" i="2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/>
  <c r="C57" i="2" a="1"/>
  <c r="C57" i="2"/>
  <c r="C58" i="2" a="1"/>
  <c r="C58" i="2"/>
  <c r="C59" i="2" a="1"/>
  <c r="C59" i="2"/>
  <c r="C60" i="2" a="1"/>
  <c r="C60" i="2" s="1"/>
  <c r="C61" i="2" a="1"/>
  <c r="C61" i="2" s="1"/>
  <c r="C62" i="2" a="1"/>
  <c r="C62" i="2" s="1"/>
  <c r="C63" i="2" a="1"/>
  <c r="C63" i="2" s="1"/>
  <c r="C64" i="2" a="1"/>
  <c r="C64" i="2"/>
  <c r="C65" i="2" a="1"/>
  <c r="C65" i="2"/>
  <c r="C66" i="2" a="1"/>
  <c r="C66" i="2"/>
  <c r="C67" i="2" a="1"/>
  <c r="C67" i="2"/>
  <c r="C68" i="2" a="1"/>
  <c r="C68" i="2" s="1"/>
  <c r="C3" i="2" a="1"/>
  <c r="C3" i="2" s="1"/>
  <c r="A72" i="2"/>
  <c r="A70" i="2"/>
  <c r="A74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<sst xmlns="http://schemas.openxmlformats.org/spreadsheetml/2006/main" count="74" uniqueCount="74">
  <si>
    <t xml:space="preserve">On-Premises Lösung bedeutet Auslagerung von Services zu externen Dienstleistern. </t>
  </si>
  <si>
    <t>Beim Outsourcen kann man Lösungen oft besser ‘skalieren’</t>
  </si>
  <si>
    <t>Bei der Nutzung von Cloud-Services entsteht eine Abhängigkeit vom Provider, was ein Nachteil sein kann.</t>
  </si>
  <si>
    <t xml:space="preserve">Bei der Nutzung von Cloud-Lösungen kann der Vorteil entstehen, dass der eigene betreuungsbedarf und die notwendige Ressourcenbereitstellung geringer wird. </t>
  </si>
  <si>
    <t>Bei SaaS besteht ein höherer Bedarf an eigenen Ressourcen und eigenem Know-how.</t>
  </si>
  <si>
    <t>Bei PaaS nutzt man nur die extern bereitgestellte Software als Cloud-Lösung</t>
  </si>
  <si>
    <t>Bei Paas übernimmt der Service Prodiver noch mehr Aufgaben für uns, als bei IaaS.</t>
  </si>
  <si>
    <t xml:space="preserve">Drop-Box oder Google Drive sind typische Private-Cloud Anwendungen. </t>
  </si>
  <si>
    <t xml:space="preserve">Datenbanksysteme zählen zu Anwendungssoftware. </t>
  </si>
  <si>
    <t>Individualsoftware wird für eine größere Zahl von Nutzern entwickelt, z.B. Excel.</t>
  </si>
  <si>
    <t xml:space="preserve">Branchen-Software (z.B. medizinische Abrechnungssyseme) zählt nicht zu System-Software. </t>
  </si>
  <si>
    <t xml:space="preserve">Bei Freeware gibt es niemals eine Lizenzregelung. </t>
  </si>
  <si>
    <t xml:space="preserve">Eine Softwarelizenz ist das Recht, eine Software zu nutzen. </t>
  </si>
  <si>
    <t>Hybrid-Lösungen kombinieren zwei oder mehr unterschiedliche Technologien, z.B. analog/ digital oder Private/ Public Cloud.</t>
  </si>
  <si>
    <t xml:space="preserve">Cloud-Lösungen können auch zur Datensicherung genutzt werden. </t>
  </si>
  <si>
    <t xml:space="preserve">Bei Cloud-Lösungen und der Verarbeitung personenbezogener Daten müssen die Regelungen der DSVGO besonders beachtet werden. </t>
  </si>
  <si>
    <t>BIOS gehört zur System-Software, nicht zur Anwendungssoftware.</t>
  </si>
  <si>
    <t xml:space="preserve">Die Ökodesign-Richtlinie verfolgt u.a. das Ziel der CO2-Reduzierung. </t>
  </si>
  <si>
    <t xml:space="preserve">Das GS-Zeichen bestätigt die Einhaltung der Vorschriften zur Ökodesign-Richtlinie. </t>
  </si>
  <si>
    <t xml:space="preserve">Nutzerakzeptanz ist der Energieeffizienz immer untergeordnet und zweitrangig. </t>
  </si>
  <si>
    <t xml:space="preserve">Lastadaptiver Betrieb bedeutet die Nutzung von Virtualisierung auf Servern. </t>
  </si>
  <si>
    <t>Frage</t>
  </si>
  <si>
    <t>Antwort</t>
  </si>
  <si>
    <t>Gib in der Spalte "Antwort" 1 oder 0 ein und die farbliche Hinterlegung sagt dir, ob das richtig ist!</t>
  </si>
  <si>
    <t>HDMI unterstützt kein Audio.</t>
  </si>
  <si>
    <t>Displayport erreicht deutlich höhere Übertragungsraten als VGA.</t>
  </si>
  <si>
    <t>Bei virtuellem Druck entsteht kein Ressourcenverbrauch an Tinte oder Toner.</t>
  </si>
  <si>
    <t>Laserdrucker erreichen i.d.R. einen höheren Durchsatz als Tintenstrahldrucker.</t>
  </si>
  <si>
    <t>Thin Clients benötigen die Rechenleistung von Servern.</t>
  </si>
  <si>
    <t xml:space="preserve">Thick Clients können auch völlig unabhängig von einem Serversystem betrieben werden. </t>
  </si>
  <si>
    <t>BIOS steht für best input operating system.</t>
  </si>
  <si>
    <t>UEFI ist eine Alternative zum BIOS mit verbesserter Oberfläche.</t>
  </si>
  <si>
    <t>Bluetooth überträgt Signale im Bereich von ca. 2,4 kHz bis 5 kHz.</t>
  </si>
  <si>
    <t>Die Übertragungsraten der neuen Bluetooth-Versionen liegen auf dem Niveau von WLANs.</t>
  </si>
  <si>
    <t xml:space="preserve">Die Kompatibilität von RAM-Bausteinen mit dem Mainboard ist heute nicht mehr relevant. </t>
  </si>
  <si>
    <t>DDR4-RAMs können eine Kapazität von z.B. 32 GB haben.</t>
  </si>
  <si>
    <t>Betriebssysteme verwalten den Zugriff auf den Speicher des Systems.</t>
  </si>
  <si>
    <t xml:space="preserve">Eine Betriebssystem-Shell interpretiert Systemkommandos. </t>
  </si>
  <si>
    <t xml:space="preserve">Motion Blur Reduction ist ein Qualitätsmerkmal von Monitoren. </t>
  </si>
  <si>
    <t xml:space="preserve">Eine höhere Bildschirmauflösung führt zu einer schnelleren Reaktionszeit des Monitors. </t>
  </si>
  <si>
    <t xml:space="preserve">M.2 ist in der Regel schneller und teurer als SATA. </t>
  </si>
  <si>
    <t xml:space="preserve">Thunderbolt und USB-C nutzen den selben Anschluss und sind begrenzt kompatibel. </t>
  </si>
  <si>
    <t xml:space="preserve">Mini-USB und Lightning (iPhone) haben die gleiche Form und sind voll kompatibel. </t>
  </si>
  <si>
    <t xml:space="preserve">Moderne Grafikkarten haben i.d.R. einen eigenen Speicher. </t>
  </si>
  <si>
    <t>Die Taktrate eines Prozessors liegt vollständig fest und kann nicht geändert werden.</t>
  </si>
  <si>
    <t xml:space="preserve">CPUs haben einen temporären Speicher. </t>
  </si>
  <si>
    <t>BIOS steht für best individual operating system</t>
  </si>
  <si>
    <t>Tintenstrahldrucker verbrauchen mehr Toner als Laserdrucker</t>
  </si>
  <si>
    <t xml:space="preserve">Bildwiederholrate und Auflösung sind Qualitätsmerkmale von Monitoren. </t>
  </si>
  <si>
    <t xml:space="preserve">Grafikkarten finden auch Anwendung in der KI. </t>
  </si>
  <si>
    <t>HDDs sind mechanisch unauffälliger und robuster als SSDs.</t>
  </si>
  <si>
    <t>Bei VA, IPS, OLED gibt es keinerlei Unterschiede bezüglich der Farbwerte und Farbdarstellungen</t>
  </si>
  <si>
    <t>Im RAM werden Daten dauerhaft gespeichert, auch bei ausgeschaltetem Rechner</t>
  </si>
  <si>
    <t>Optische Lasersensoren bei Mäusen unterscheiden sich in der Präzision auf glatten Oberflächen</t>
  </si>
  <si>
    <t>Die Taktfrequenz einer CPU hat keinen Einfluss auf die Leistungsfähigkeit der CPU</t>
  </si>
  <si>
    <t>Prozessverwaltung und Speicherverwaltung sind typische Aufgaben des Betriebssystems</t>
  </si>
  <si>
    <t>Die Merkmale “flat” und “curved” sind typische Eigenschaften von Mäusen</t>
  </si>
  <si>
    <t xml:space="preserve">USB 4 ist ca. 25% schneller als USB 2. </t>
  </si>
  <si>
    <t>BIOS steht für Input/ Output System</t>
  </si>
  <si>
    <t>Bluetooth-Signale sind elektromagnetische Funkwellen im lizenzfreien 2,4-GHz-Frequenzband</t>
  </si>
  <si>
    <t xml:space="preserve">GPU und CPU haben die gleichen Funktionen, die GPU ist aber Bestandteil der Grafikkarte. </t>
  </si>
  <si>
    <t xml:space="preserve">Themen wie Web-Seiten-Hosting sind i.d.R. gut geeignet, ausgelagert zu werden. </t>
  </si>
  <si>
    <t>Eine USV soll vor Stromausfall schützen.</t>
  </si>
  <si>
    <t xml:space="preserve">Die USV soll vor Schwankungen der Frequenz im Stromnetz schützen. </t>
  </si>
  <si>
    <t>Server sollen durch die USV vor Viren geschützt werden</t>
  </si>
  <si>
    <t xml:space="preserve">USV steht für Ununterbrochene Stromversorgung. </t>
  </si>
  <si>
    <t>Spannungsspitzen im Stromnetz werden durch die USV ausgeglichen</t>
  </si>
  <si>
    <t>Die USV schützt vor Ausfällen des Diesel-Notstromaggregats</t>
  </si>
  <si>
    <t xml:space="preserve">Bei Störungen im Stromnetz ermöglicht die USV das geordnete Herunterfahren von Servern. </t>
  </si>
  <si>
    <t>Lsg</t>
  </si>
  <si>
    <t>Cntr</t>
  </si>
  <si>
    <t>Beantwortet:</t>
  </si>
  <si>
    <t xml:space="preserve">Insgesamt: </t>
  </si>
  <si>
    <t>Richtige: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</si>
</sst>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E2841"/>
      <name val="Aptos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6" xfId="0" applyFont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/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Fill="1" applyBorder="1"/>
    <xf numFmtId="1" fontId="0" fillId="0" borderId="5" xfId="0" applyNumberFormat="1" applyBorder="1"/>
    <xf numFmtId="1" fontId="0" fillId="0" borderId="1" xfId="0" applyNumberFormat="1" applyBorder="1"/>
    <xf numFmtId="1" fontId="0" fillId="0" borderId="5" xfId="0" applyNumberFormat="1" applyFill="1" applyBorder="1"/>
    <xf numFmtId="1" fontId="0" fillId="0" borderId="1" xfId="0" applyNumberFormat="1" applyFill="1" applyBorder="1"/>
    <xf numFmtId="1" fontId="0" fillId="0" borderId="7" xfId="0" applyNumberFormat="1" applyFill="1" applyBorder="1"/>
    <xf numFmtId="1" fontId="0" fillId="0" borderId="8" xfId="0" applyNumberForma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17">
    <dxf>
      <fill>
        <patternFill>
          <bgColor theme="9" tint="0.79998168889431442"/>
        </patternFill>
      </fill>
    </dxf>
    <dxf>
      <fill>
        <patternFill>
          <bgColor rgb="FFFF0066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0066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7C80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7C80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rgb="FFFF7C8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00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4B88-C329-4195-96A8-B932A174BFBA}">
  <dimension ref="A1:E74"/>
  <sheetViews>
    <sheetView tabSelected="1" topLeftCell="A49" zoomScale="85" zoomScaleNormal="85" workbookViewId="0">
      <selection activeCell="D79" sqref="D79"/>
    </sheetView>
  </sheetViews>
  <sheetFormatPr defaultRowHeight="15" x14ac:dyDescent="0.25"/>
  <cols>
    <col min="1" max="1" width="12.85546875" customWidth="1"/>
    <col min="2" max="3" width="9.140625" hidden="1" customWidth="1"/>
    <col min="4" max="4" width="187.7109375" customWidth="1"/>
    <col min="5" max="5" width="0" hidden="1" customWidth="1"/>
  </cols>
  <sheetData>
    <row r="1" spans="1:5" ht="15.75" thickBot="1" x14ac:dyDescent="0.3">
      <c r="A1" s="8" t="s">
        <v>23</v>
      </c>
      <c r="B1" s="9"/>
      <c r="C1" s="10"/>
      <c r="D1" s="11"/>
    </row>
    <row r="2" spans="1:5" ht="15.75" x14ac:dyDescent="0.25">
      <c r="A2" s="20" t="s">
        <v>22</v>
      </c>
      <c r="B2" s="21" t="s">
        <v>69</v>
      </c>
      <c r="C2" s="21" t="s">
        <v>70</v>
      </c>
      <c r="D2" s="22" t="s">
        <v>21</v>
      </c>
    </row>
    <row r="3" spans="1:5" ht="15.75" x14ac:dyDescent="0.25">
      <c r="A3" s="14"/>
      <c r="B3" s="15">
        <v>1</v>
      </c>
      <c r="C3" s="15" cm="1">
        <f t="array" ref="C3">_xlfn.IFS(ISBLANK(A3),0,A3=B3,1,A3&lt;&gt;B3,0)</f>
        <v>0</v>
      </c>
      <c r="D3" s="1" t="s">
        <v>14</v>
      </c>
      <c r="E3">
        <v>0</v>
      </c>
    </row>
    <row r="4" spans="1:5" ht="15.75" x14ac:dyDescent="0.25">
      <c r="A4" s="14"/>
      <c r="B4" s="15">
        <v>1</v>
      </c>
      <c r="C4" s="15" cm="1">
        <f t="array" ref="C4">_xlfn.IFS(ISBLANK(A4),0,A4=B4,1,A4&lt;&gt;B4,0)</f>
        <v>0</v>
      </c>
      <c r="D4" s="1" t="s">
        <v>17</v>
      </c>
      <c r="E4">
        <v>0</v>
      </c>
    </row>
    <row r="5" spans="1:5" ht="15.75" x14ac:dyDescent="0.25">
      <c r="A5" s="14"/>
      <c r="B5" s="15">
        <v>0</v>
      </c>
      <c r="C5" s="15" cm="1">
        <f t="array" ref="C5">_xlfn.IFS(ISBLANK(A5),0,A5=B5,1,A5&lt;&gt;B5,0)</f>
        <v>0</v>
      </c>
      <c r="D5" s="1" t="s">
        <v>52</v>
      </c>
      <c r="E5">
        <v>0</v>
      </c>
    </row>
    <row r="6" spans="1:5" ht="15.75" x14ac:dyDescent="0.25">
      <c r="A6" s="14"/>
      <c r="B6" s="15">
        <v>0</v>
      </c>
      <c r="C6" s="15" cm="1">
        <f t="array" ref="C6">_xlfn.IFS(ISBLANK(A6),0,A6=B6,1,A6&lt;&gt;B6,0)</f>
        <v>0</v>
      </c>
      <c r="D6" s="1" t="s">
        <v>5</v>
      </c>
      <c r="E6">
        <v>1</v>
      </c>
    </row>
    <row r="7" spans="1:5" ht="15.75" x14ac:dyDescent="0.25">
      <c r="A7" s="14"/>
      <c r="B7" s="15">
        <v>1</v>
      </c>
      <c r="C7" s="15" cm="1">
        <f t="array" ref="C7">_xlfn.IFS(ISBLANK(A7),0,A7=B7,1,A7&lt;&gt;B7,0)</f>
        <v>0</v>
      </c>
      <c r="D7" s="1" t="s">
        <v>45</v>
      </c>
      <c r="E7">
        <v>1</v>
      </c>
    </row>
    <row r="8" spans="1:5" ht="15.75" x14ac:dyDescent="0.25">
      <c r="A8" s="14"/>
      <c r="B8" s="15">
        <v>0</v>
      </c>
      <c r="C8" s="15" cm="1">
        <f t="array" ref="C8">_xlfn.IFS(ISBLANK(A8),0,A8=B8,1,A8&lt;&gt;B8,0)</f>
        <v>0</v>
      </c>
      <c r="D8" s="1" t="s">
        <v>20</v>
      </c>
      <c r="E8">
        <v>1</v>
      </c>
    </row>
    <row r="9" spans="1:5" ht="15.75" x14ac:dyDescent="0.25">
      <c r="A9" s="14"/>
      <c r="B9" s="15">
        <v>1</v>
      </c>
      <c r="C9" s="15" cm="1">
        <f t="array" ref="C9">_xlfn.IFS(ISBLANK(A9),0,A9=B9,1,A9&lt;&gt;B9,0)</f>
        <v>0</v>
      </c>
      <c r="D9" s="1" t="s">
        <v>15</v>
      </c>
      <c r="E9">
        <v>2</v>
      </c>
    </row>
    <row r="10" spans="1:5" ht="15.75" x14ac:dyDescent="0.25">
      <c r="A10" s="14"/>
      <c r="B10" s="15">
        <v>1</v>
      </c>
      <c r="C10" s="15" cm="1">
        <f t="array" ref="C10">_xlfn.IFS(ISBLANK(A10),0,A10=B10,1,A10&lt;&gt;B10,0)</f>
        <v>0</v>
      </c>
      <c r="D10" s="1" t="s">
        <v>26</v>
      </c>
      <c r="E10">
        <v>2</v>
      </c>
    </row>
    <row r="11" spans="1:5" ht="15.75" x14ac:dyDescent="0.25">
      <c r="A11" s="14"/>
      <c r="B11" s="15">
        <v>0</v>
      </c>
      <c r="C11" s="15" cm="1">
        <f t="array" ref="C11">_xlfn.IFS(ISBLANK(A11),0,A11=B11,1,A11&lt;&gt;B11,0)</f>
        <v>0</v>
      </c>
      <c r="D11" s="1" t="s">
        <v>32</v>
      </c>
      <c r="E11">
        <v>2</v>
      </c>
    </row>
    <row r="12" spans="1:5" ht="15.75" x14ac:dyDescent="0.25">
      <c r="A12" s="14"/>
      <c r="B12" s="15">
        <v>1</v>
      </c>
      <c r="C12" s="15" cm="1">
        <f t="array" ref="C12">_xlfn.IFS(ISBLANK(A12),0,A12=B12,1,A12&lt;&gt;B12,0)</f>
        <v>0</v>
      </c>
      <c r="D12" s="1" t="s">
        <v>37</v>
      </c>
      <c r="E12">
        <v>2</v>
      </c>
    </row>
    <row r="13" spans="1:5" ht="15.75" x14ac:dyDescent="0.25">
      <c r="A13" s="14"/>
      <c r="B13" s="15">
        <v>1</v>
      </c>
      <c r="C13" s="15" cm="1">
        <f t="array" ref="C13">_xlfn.IFS(ISBLANK(A13),0,A13=B13,1,A13&lt;&gt;B13,0)</f>
        <v>0</v>
      </c>
      <c r="D13" s="1" t="s">
        <v>27</v>
      </c>
      <c r="E13">
        <v>2</v>
      </c>
    </row>
    <row r="14" spans="1:5" ht="15.75" x14ac:dyDescent="0.25">
      <c r="A14" s="14"/>
      <c r="B14" s="15">
        <v>1</v>
      </c>
      <c r="C14" s="15" cm="1">
        <f t="array" ref="C14">_xlfn.IFS(ISBLANK(A14),0,A14=B14,1,A14&lt;&gt;B14,0)</f>
        <v>0</v>
      </c>
      <c r="D14" s="1" t="s">
        <v>40</v>
      </c>
      <c r="E14">
        <v>2</v>
      </c>
    </row>
    <row r="15" spans="1:5" ht="15.75" x14ac:dyDescent="0.25">
      <c r="A15" s="14"/>
      <c r="B15" s="15">
        <v>0</v>
      </c>
      <c r="C15" s="15" cm="1">
        <f t="array" ref="C15">_xlfn.IFS(ISBLANK(A15),0,A15=B15,1,A15&lt;&gt;B15,0)</f>
        <v>0</v>
      </c>
      <c r="D15" s="1" t="s">
        <v>0</v>
      </c>
      <c r="E15">
        <v>2</v>
      </c>
    </row>
    <row r="16" spans="1:5" ht="15.75" x14ac:dyDescent="0.25">
      <c r="A16" s="14"/>
      <c r="B16" s="15">
        <v>1</v>
      </c>
      <c r="C16" s="15" cm="1">
        <f t="array" ref="C16">_xlfn.IFS(ISBLANK(A16),0,A16=B16,1,A16&lt;&gt;B16,0)</f>
        <v>0</v>
      </c>
      <c r="D16" s="1" t="s">
        <v>55</v>
      </c>
      <c r="E16">
        <v>2</v>
      </c>
    </row>
    <row r="17" spans="1:5" ht="15.75" x14ac:dyDescent="0.25">
      <c r="A17" s="14"/>
      <c r="B17" s="15">
        <v>0</v>
      </c>
      <c r="C17" s="15" cm="1">
        <f t="array" ref="C17">_xlfn.IFS(ISBLANK(A17),0,A17=B17,1,A17&lt;&gt;B17,0)</f>
        <v>0</v>
      </c>
      <c r="D17" s="1" t="s">
        <v>11</v>
      </c>
      <c r="E17">
        <v>3</v>
      </c>
    </row>
    <row r="18" spans="1:5" ht="15.75" x14ac:dyDescent="0.25">
      <c r="A18" s="14"/>
      <c r="B18" s="15">
        <v>0</v>
      </c>
      <c r="C18" s="15" cm="1">
        <f t="array" ref="C18">_xlfn.IFS(ISBLANK(A18),0,A18=B18,1,A18&lt;&gt;B18,0)</f>
        <v>0</v>
      </c>
      <c r="D18" s="1" t="s">
        <v>30</v>
      </c>
      <c r="E18">
        <v>3</v>
      </c>
    </row>
    <row r="19" spans="1:5" ht="15.75" x14ac:dyDescent="0.25">
      <c r="A19" s="14"/>
      <c r="B19" s="15">
        <v>0</v>
      </c>
      <c r="C19" s="15" cm="1">
        <f t="array" ref="C19">_xlfn.IFS(ISBLANK(A19),0,A19=B19,1,A19&lt;&gt;B19,0)</f>
        <v>0</v>
      </c>
      <c r="D19" s="1" t="s">
        <v>18</v>
      </c>
      <c r="E19">
        <v>3</v>
      </c>
    </row>
    <row r="20" spans="1:5" ht="15.75" x14ac:dyDescent="0.25">
      <c r="A20" s="14"/>
      <c r="B20" s="15">
        <v>0</v>
      </c>
      <c r="C20" s="15" cm="1">
        <f t="array" ref="C20">_xlfn.IFS(ISBLANK(A20),0,A20=B20,1,A20&lt;&gt;B20,0)</f>
        <v>0</v>
      </c>
      <c r="D20" s="1" t="s">
        <v>34</v>
      </c>
      <c r="E20">
        <v>3</v>
      </c>
    </row>
    <row r="21" spans="1:5" ht="15.75" x14ac:dyDescent="0.25">
      <c r="A21" s="14"/>
      <c r="B21" s="15">
        <v>0</v>
      </c>
      <c r="C21" s="15" cm="1">
        <f t="array" ref="C21">_xlfn.IFS(ISBLANK(A21),0,A21=B21,1,A21&lt;&gt;B21,0)</f>
        <v>0</v>
      </c>
      <c r="D21" s="1" t="s">
        <v>7</v>
      </c>
      <c r="E21">
        <v>3</v>
      </c>
    </row>
    <row r="22" spans="1:5" ht="15.75" x14ac:dyDescent="0.25">
      <c r="A22" s="14"/>
      <c r="B22" s="15">
        <v>0</v>
      </c>
      <c r="C22" s="15" cm="1">
        <f t="array" ref="C22">_xlfn.IFS(ISBLANK(A22),0,A22=B22,1,A22&lt;&gt;B22,0)</f>
        <v>0</v>
      </c>
      <c r="D22" s="1" t="s">
        <v>19</v>
      </c>
      <c r="E22">
        <v>3</v>
      </c>
    </row>
    <row r="23" spans="1:5" ht="15.75" x14ac:dyDescent="0.25">
      <c r="A23" s="14"/>
      <c r="B23" s="15">
        <v>1</v>
      </c>
      <c r="C23" s="15" cm="1">
        <f t="array" ref="C23">_xlfn.IFS(ISBLANK(A23),0,A23=B23,1,A23&lt;&gt;B23,0)</f>
        <v>0</v>
      </c>
      <c r="D23" s="1" t="s">
        <v>61</v>
      </c>
      <c r="E23">
        <v>3</v>
      </c>
    </row>
    <row r="24" spans="1:5" ht="15.75" x14ac:dyDescent="0.25">
      <c r="A24" s="14"/>
      <c r="B24" s="15">
        <v>0</v>
      </c>
      <c r="C24" s="15" cm="1">
        <f t="array" ref="C24">_xlfn.IFS(ISBLANK(A24),0,A24=B24,1,A24&lt;&gt;B24,0)</f>
        <v>0</v>
      </c>
      <c r="D24" s="1" t="s">
        <v>57</v>
      </c>
      <c r="E24">
        <v>3</v>
      </c>
    </row>
    <row r="25" spans="1:5" ht="15.75" x14ac:dyDescent="0.25">
      <c r="A25" s="16"/>
      <c r="B25" s="17">
        <v>1</v>
      </c>
      <c r="C25" s="15" cm="1">
        <f t="array" ref="C25">_xlfn.IFS(ISBLANK(A25),0,A25=B25,1,A25&lt;&gt;B25,0)</f>
        <v>0</v>
      </c>
      <c r="D25" s="2" t="s">
        <v>66</v>
      </c>
      <c r="E25">
        <v>3</v>
      </c>
    </row>
    <row r="26" spans="1:5" ht="15.75" x14ac:dyDescent="0.25">
      <c r="A26" s="16"/>
      <c r="B26" s="17">
        <v>0</v>
      </c>
      <c r="C26" s="15" cm="1">
        <f t="array" ref="C26">_xlfn.IFS(ISBLANK(A26),0,A26=B26,1,A26&lt;&gt;B26,0)</f>
        <v>0</v>
      </c>
      <c r="D26" s="2" t="s">
        <v>67</v>
      </c>
      <c r="E26">
        <v>3</v>
      </c>
    </row>
    <row r="27" spans="1:5" ht="15.75" x14ac:dyDescent="0.25">
      <c r="A27" s="14"/>
      <c r="B27" s="15">
        <v>1</v>
      </c>
      <c r="C27" s="15" cm="1">
        <f t="array" ref="C27">_xlfn.IFS(ISBLANK(A27),0,A27=B27,1,A27&lt;&gt;B27,0)</f>
        <v>0</v>
      </c>
      <c r="D27" s="1" t="s">
        <v>1</v>
      </c>
      <c r="E27">
        <v>4</v>
      </c>
    </row>
    <row r="28" spans="1:5" ht="15.75" x14ac:dyDescent="0.25">
      <c r="A28" s="14"/>
      <c r="B28" s="15">
        <v>1</v>
      </c>
      <c r="C28" s="15" cm="1">
        <f t="array" ref="C28">_xlfn.IFS(ISBLANK(A28),0,A28=B28,1,A28&lt;&gt;B28,0)</f>
        <v>0</v>
      </c>
      <c r="D28" s="1" t="s">
        <v>36</v>
      </c>
      <c r="E28">
        <v>4</v>
      </c>
    </row>
    <row r="29" spans="1:5" ht="15.75" x14ac:dyDescent="0.25">
      <c r="A29" s="14"/>
      <c r="B29" s="15">
        <v>1</v>
      </c>
      <c r="C29" s="15" cm="1">
        <f t="array" ref="C29">_xlfn.IFS(ISBLANK(A29),0,A29=B29,1,A29&lt;&gt;B29,0)</f>
        <v>0</v>
      </c>
      <c r="D29" s="1" t="s">
        <v>35</v>
      </c>
      <c r="E29">
        <v>4</v>
      </c>
    </row>
    <row r="30" spans="1:5" ht="15.75" x14ac:dyDescent="0.25">
      <c r="A30" s="14"/>
      <c r="B30" s="15">
        <v>1</v>
      </c>
      <c r="C30" s="15" cm="1">
        <f t="array" ref="C30">_xlfn.IFS(ISBLANK(A30),0,A30=B30,1,A30&lt;&gt;B30,0)</f>
        <v>0</v>
      </c>
      <c r="D30" s="1" t="s">
        <v>25</v>
      </c>
      <c r="E30">
        <v>4</v>
      </c>
    </row>
    <row r="31" spans="1:5" ht="15.75" x14ac:dyDescent="0.25">
      <c r="A31" s="14"/>
      <c r="B31" s="15">
        <v>0</v>
      </c>
      <c r="C31" s="15" cm="1">
        <f t="array" ref="C31">_xlfn.IFS(ISBLANK(A31),0,A31=B31,1,A31&lt;&gt;B31,0)</f>
        <v>0</v>
      </c>
      <c r="D31" s="1" t="s">
        <v>42</v>
      </c>
      <c r="E31">
        <v>4</v>
      </c>
    </row>
    <row r="32" spans="1:5" ht="15.75" x14ac:dyDescent="0.25">
      <c r="A32" s="14"/>
      <c r="B32" s="15">
        <v>1</v>
      </c>
      <c r="C32" s="15" cm="1">
        <f t="array" ref="C32">_xlfn.IFS(ISBLANK(A32),0,A32=B32,1,A32&lt;&gt;B32,0)</f>
        <v>0</v>
      </c>
      <c r="D32" s="1" t="s">
        <v>41</v>
      </c>
      <c r="E32">
        <v>4</v>
      </c>
    </row>
    <row r="33" spans="1:5" ht="15.75" x14ac:dyDescent="0.25">
      <c r="A33" s="14"/>
      <c r="B33" s="15">
        <v>1</v>
      </c>
      <c r="C33" s="15" cm="1">
        <f t="array" ref="C33">_xlfn.IFS(ISBLANK(A33),0,A33=B33,1,A33&lt;&gt;B33,0)</f>
        <v>0</v>
      </c>
      <c r="D33" s="1" t="s">
        <v>3</v>
      </c>
      <c r="E33">
        <v>5</v>
      </c>
    </row>
    <row r="34" spans="1:5" ht="15.75" x14ac:dyDescent="0.25">
      <c r="A34" s="14"/>
      <c r="B34" s="15">
        <v>0</v>
      </c>
      <c r="C34" s="15" cm="1">
        <f t="array" ref="C34">_xlfn.IFS(ISBLANK(A34),0,A34=B34,1,A34&lt;&gt;B34,0)</f>
        <v>0</v>
      </c>
      <c r="D34" s="1" t="s">
        <v>51</v>
      </c>
      <c r="E34">
        <v>5</v>
      </c>
    </row>
    <row r="35" spans="1:5" ht="15.75" x14ac:dyDescent="0.25">
      <c r="A35" s="14"/>
      <c r="B35" s="15">
        <v>1</v>
      </c>
      <c r="C35" s="15" cm="1">
        <f t="array" ref="C35">_xlfn.IFS(ISBLANK(A35),0,A35=B35,1,A35&lt;&gt;B35,0)</f>
        <v>0</v>
      </c>
      <c r="D35" s="1" t="s">
        <v>48</v>
      </c>
      <c r="E35">
        <v>5</v>
      </c>
    </row>
    <row r="36" spans="1:5" ht="15.75" x14ac:dyDescent="0.25">
      <c r="A36" s="14"/>
      <c r="B36" s="15">
        <v>1</v>
      </c>
      <c r="C36" s="15" cm="1">
        <f t="array" ref="C36">_xlfn.IFS(ISBLANK(A36),0,A36=B36,1,A36&lt;&gt;B36,0)</f>
        <v>0</v>
      </c>
      <c r="D36" s="1" t="s">
        <v>58</v>
      </c>
      <c r="E36">
        <v>5</v>
      </c>
    </row>
    <row r="37" spans="1:5" ht="15.75" x14ac:dyDescent="0.25">
      <c r="A37" s="14"/>
      <c r="B37" s="15">
        <v>1</v>
      </c>
      <c r="C37" s="15" cm="1">
        <f t="array" ref="C37">_xlfn.IFS(ISBLANK(A37),0,A37=B37,1,A37&lt;&gt;B37,0)</f>
        <v>0</v>
      </c>
      <c r="D37" s="1" t="s">
        <v>59</v>
      </c>
      <c r="E37">
        <v>5</v>
      </c>
    </row>
    <row r="38" spans="1:5" ht="15.75" x14ac:dyDescent="0.25">
      <c r="A38" s="14"/>
      <c r="B38" s="15">
        <v>0</v>
      </c>
      <c r="C38" s="15" cm="1">
        <f t="array" ref="C38">_xlfn.IFS(ISBLANK(A38),0,A38=B38,1,A38&lt;&gt;B38,0)</f>
        <v>0</v>
      </c>
      <c r="D38" s="1" t="s">
        <v>8</v>
      </c>
      <c r="E38">
        <v>5</v>
      </c>
    </row>
    <row r="39" spans="1:5" ht="15.75" x14ac:dyDescent="0.25">
      <c r="A39" s="14"/>
      <c r="B39" s="15">
        <v>0</v>
      </c>
      <c r="C39" s="15" cm="1">
        <f t="array" ref="C39">_xlfn.IFS(ISBLANK(A39),0,A39=B39,1,A39&lt;&gt;B39,0)</f>
        <v>0</v>
      </c>
      <c r="D39" s="1" t="s">
        <v>56</v>
      </c>
      <c r="E39">
        <v>5</v>
      </c>
    </row>
    <row r="40" spans="1:5" ht="15.75" x14ac:dyDescent="0.25">
      <c r="A40" s="14"/>
      <c r="B40" s="15">
        <v>0</v>
      </c>
      <c r="C40" s="15" cm="1">
        <f t="array" ref="C40">_xlfn.IFS(ISBLANK(A40),0,A40=B40,1,A40&lt;&gt;B40,0)</f>
        <v>0</v>
      </c>
      <c r="D40" s="1" t="s">
        <v>39</v>
      </c>
      <c r="E40">
        <v>5</v>
      </c>
    </row>
    <row r="41" spans="1:5" ht="15.75" x14ac:dyDescent="0.25">
      <c r="A41" s="14"/>
      <c r="B41" s="15">
        <v>1</v>
      </c>
      <c r="C41" s="15" cm="1">
        <f t="array" ref="C41">_xlfn.IFS(ISBLANK(A41),0,A41=B41,1,A41&lt;&gt;B41,0)</f>
        <v>0</v>
      </c>
      <c r="D41" s="1" t="s">
        <v>49</v>
      </c>
      <c r="E41">
        <v>5</v>
      </c>
    </row>
    <row r="42" spans="1:5" ht="15.75" x14ac:dyDescent="0.25">
      <c r="A42" s="14"/>
      <c r="B42" s="15">
        <v>0</v>
      </c>
      <c r="C42" s="15" cm="1">
        <f t="array" ref="C42">_xlfn.IFS(ISBLANK(A42),0,A42=B42,1,A42&lt;&gt;B42,0)</f>
        <v>0</v>
      </c>
      <c r="D42" s="1" t="s">
        <v>9</v>
      </c>
      <c r="E42">
        <v>5</v>
      </c>
    </row>
    <row r="43" spans="1:5" ht="15.75" x14ac:dyDescent="0.25">
      <c r="A43" s="14"/>
      <c r="B43" s="15">
        <v>1</v>
      </c>
      <c r="C43" s="15" cm="1">
        <f t="array" ref="C43">_xlfn.IFS(ISBLANK(A43),0,A43=B43,1,A43&lt;&gt;B43,0)</f>
        <v>0</v>
      </c>
      <c r="D43" s="1" t="s">
        <v>38</v>
      </c>
      <c r="E43">
        <v>5</v>
      </c>
    </row>
    <row r="44" spans="1:5" ht="15.75" x14ac:dyDescent="0.25">
      <c r="A44" s="16"/>
      <c r="B44" s="17">
        <v>1</v>
      </c>
      <c r="C44" s="15" cm="1">
        <f t="array" ref="C44">_xlfn.IFS(ISBLANK(A44),0,A44=B44,1,A44&lt;&gt;B44,0)</f>
        <v>0</v>
      </c>
      <c r="D44" s="2" t="s">
        <v>65</v>
      </c>
      <c r="E44">
        <v>5</v>
      </c>
    </row>
    <row r="45" spans="1:5" ht="15.75" x14ac:dyDescent="0.25">
      <c r="A45" s="14"/>
      <c r="B45" s="15">
        <v>0</v>
      </c>
      <c r="C45" s="15" cm="1">
        <f t="array" ref="C45">_xlfn.IFS(ISBLANK(A45),0,A45=B45,1,A45&lt;&gt;B45,0)</f>
        <v>0</v>
      </c>
      <c r="D45" s="1" t="s">
        <v>54</v>
      </c>
      <c r="E45">
        <v>5</v>
      </c>
    </row>
    <row r="46" spans="1:5" ht="15.75" x14ac:dyDescent="0.25">
      <c r="A46" s="14"/>
      <c r="B46" s="15">
        <v>1</v>
      </c>
      <c r="C46" s="15" cm="1">
        <f t="array" ref="C46">_xlfn.IFS(ISBLANK(A46),0,A46=B46,1,A46&lt;&gt;B46,0)</f>
        <v>0</v>
      </c>
      <c r="D46" s="1" t="s">
        <v>6</v>
      </c>
      <c r="E46">
        <v>6</v>
      </c>
    </row>
    <row r="47" spans="1:5" ht="15.75" x14ac:dyDescent="0.25">
      <c r="A47" s="14"/>
      <c r="B47" s="15">
        <v>1</v>
      </c>
      <c r="C47" s="15" cm="1">
        <f t="array" ref="C47">_xlfn.IFS(ISBLANK(A47),0,A47=B47,1,A47&lt;&gt;B47,0)</f>
        <v>0</v>
      </c>
      <c r="D47" s="1" t="s">
        <v>33</v>
      </c>
      <c r="E47">
        <v>6</v>
      </c>
    </row>
    <row r="48" spans="1:5" ht="15.75" x14ac:dyDescent="0.25">
      <c r="A48" s="14"/>
      <c r="B48" s="15">
        <v>0</v>
      </c>
      <c r="C48" s="15" cm="1">
        <f t="array" ref="C48">_xlfn.IFS(ISBLANK(A48),0,A48=B48,1,A48&lt;&gt;B48,0)</f>
        <v>0</v>
      </c>
      <c r="D48" s="1" t="s">
        <v>24</v>
      </c>
      <c r="E48">
        <v>6</v>
      </c>
    </row>
    <row r="49" spans="1:5" ht="15.75" x14ac:dyDescent="0.25">
      <c r="A49" s="14"/>
      <c r="B49" s="15">
        <v>1</v>
      </c>
      <c r="C49" s="15" cm="1">
        <f t="array" ref="C49">_xlfn.IFS(ISBLANK(A49),0,A49=B49,1,A49&lt;&gt;B49,0)</f>
        <v>0</v>
      </c>
      <c r="D49" s="1" t="s">
        <v>43</v>
      </c>
      <c r="E49">
        <v>6</v>
      </c>
    </row>
    <row r="50" spans="1:5" ht="15.75" x14ac:dyDescent="0.25">
      <c r="A50" s="14"/>
      <c r="B50" s="15">
        <v>1</v>
      </c>
      <c r="C50" s="15" cm="1">
        <f t="array" ref="C50">_xlfn.IFS(ISBLANK(A50),0,A50=B50,1,A50&lt;&gt;B50,0)</f>
        <v>0</v>
      </c>
      <c r="D50" s="1" t="s">
        <v>29</v>
      </c>
      <c r="E50">
        <v>6</v>
      </c>
    </row>
    <row r="51" spans="1:5" ht="15.75" x14ac:dyDescent="0.25">
      <c r="A51" s="14"/>
      <c r="B51" s="15">
        <v>1</v>
      </c>
      <c r="C51" s="15" cm="1">
        <f t="array" ref="C51">_xlfn.IFS(ISBLANK(A51),0,A51=B51,1,A51&lt;&gt;B51,0)</f>
        <v>0</v>
      </c>
      <c r="D51" s="1" t="s">
        <v>31</v>
      </c>
      <c r="E51">
        <v>6</v>
      </c>
    </row>
    <row r="52" spans="1:5" ht="15.75" x14ac:dyDescent="0.25">
      <c r="A52" s="16"/>
      <c r="B52" s="17">
        <v>0</v>
      </c>
      <c r="C52" s="15" cm="1">
        <f t="array" ref="C52">_xlfn.IFS(ISBLANK(A52),0,A52=B52,1,A52&lt;&gt;B52,0)</f>
        <v>0</v>
      </c>
      <c r="D52" s="2" t="s">
        <v>64</v>
      </c>
      <c r="E52">
        <v>6</v>
      </c>
    </row>
    <row r="53" spans="1:5" ht="15.75" x14ac:dyDescent="0.25">
      <c r="A53" s="14"/>
      <c r="B53" s="15">
        <v>1</v>
      </c>
      <c r="C53" s="15" cm="1">
        <f t="array" ref="C53">_xlfn.IFS(ISBLANK(A53),0,A53=B53,1,A53&lt;&gt;B53,0)</f>
        <v>0</v>
      </c>
      <c r="D53" s="1" t="s">
        <v>2</v>
      </c>
      <c r="E53">
        <v>7</v>
      </c>
    </row>
    <row r="54" spans="1:5" ht="15.75" x14ac:dyDescent="0.25">
      <c r="A54" s="14"/>
      <c r="B54" s="15">
        <v>1</v>
      </c>
      <c r="C54" s="15" cm="1">
        <f t="array" ref="C54">_xlfn.IFS(ISBLANK(A54),0,A54=B54,1,A54&lt;&gt;B54,0)</f>
        <v>0</v>
      </c>
      <c r="D54" s="1" t="s">
        <v>16</v>
      </c>
      <c r="E54">
        <v>7</v>
      </c>
    </row>
    <row r="55" spans="1:5" ht="15.75" x14ac:dyDescent="0.25">
      <c r="A55" s="14"/>
      <c r="B55" s="15">
        <v>1</v>
      </c>
      <c r="C55" s="15" cm="1">
        <f t="array" ref="C55">_xlfn.IFS(ISBLANK(A55),0,A55=B55,1,A55&lt;&gt;B55,0)</f>
        <v>0</v>
      </c>
      <c r="D55" s="1" t="s">
        <v>12</v>
      </c>
      <c r="E55">
        <v>7</v>
      </c>
    </row>
    <row r="56" spans="1:5" ht="15.75" x14ac:dyDescent="0.25">
      <c r="A56" s="14"/>
      <c r="B56" s="15">
        <v>0</v>
      </c>
      <c r="C56" s="15" cm="1">
        <f t="array" ref="C56">_xlfn.IFS(ISBLANK(A56),0,A56=B56,1,A56&lt;&gt;B56,0)</f>
        <v>0</v>
      </c>
      <c r="D56" s="1" t="s">
        <v>50</v>
      </c>
      <c r="E56">
        <v>7</v>
      </c>
    </row>
    <row r="57" spans="1:5" ht="15.75" x14ac:dyDescent="0.25">
      <c r="A57" s="14"/>
      <c r="B57" s="15">
        <v>1</v>
      </c>
      <c r="C57" s="15" cm="1">
        <f t="array" ref="C57">_xlfn.IFS(ISBLANK(A57),0,A57=B57,1,A57&lt;&gt;B57,0)</f>
        <v>0</v>
      </c>
      <c r="D57" s="1" t="s">
        <v>28</v>
      </c>
      <c r="E57">
        <v>7</v>
      </c>
    </row>
    <row r="58" spans="1:5" ht="15.75" x14ac:dyDescent="0.25">
      <c r="A58" s="16"/>
      <c r="B58" s="17">
        <v>1</v>
      </c>
      <c r="C58" s="15" cm="1">
        <f t="array" ref="C58">_xlfn.IFS(ISBLANK(A58),0,A58=B58,1,A58&lt;&gt;B58,0)</f>
        <v>0</v>
      </c>
      <c r="D58" s="2" t="s">
        <v>63</v>
      </c>
      <c r="E58">
        <v>7</v>
      </c>
    </row>
    <row r="59" spans="1:5" ht="15.75" x14ac:dyDescent="0.25">
      <c r="A59" s="16"/>
      <c r="B59" s="17">
        <v>1</v>
      </c>
      <c r="C59" s="15" cm="1">
        <f t="array" ref="C59">_xlfn.IFS(ISBLANK(A59),0,A59=B59,1,A59&lt;&gt;B59,0)</f>
        <v>0</v>
      </c>
      <c r="D59" s="2" t="s">
        <v>68</v>
      </c>
      <c r="E59">
        <v>7</v>
      </c>
    </row>
    <row r="60" spans="1:5" ht="15.75" x14ac:dyDescent="0.25">
      <c r="A60" s="14"/>
      <c r="B60" s="15">
        <v>0</v>
      </c>
      <c r="C60" s="15" cm="1">
        <f t="array" ref="C60">_xlfn.IFS(ISBLANK(A60),0,A60=B60,1,A60&lt;&gt;B60,0)</f>
        <v>0</v>
      </c>
      <c r="D60" s="1" t="s">
        <v>4</v>
      </c>
      <c r="E60">
        <v>8</v>
      </c>
    </row>
    <row r="61" spans="1:5" ht="15.75" x14ac:dyDescent="0.25">
      <c r="A61" s="14"/>
      <c r="B61" s="15">
        <v>1</v>
      </c>
      <c r="C61" s="15" cm="1">
        <f t="array" ref="C61">_xlfn.IFS(ISBLANK(A61),0,A61=B61,1,A61&lt;&gt;B61,0)</f>
        <v>0</v>
      </c>
      <c r="D61" s="1" t="s">
        <v>10</v>
      </c>
      <c r="E61">
        <v>8</v>
      </c>
    </row>
    <row r="62" spans="1:5" ht="15.75" x14ac:dyDescent="0.25">
      <c r="A62" s="14"/>
      <c r="B62" s="15">
        <v>0</v>
      </c>
      <c r="C62" s="15" cm="1">
        <f t="array" ref="C62">_xlfn.IFS(ISBLANK(A62),0,A62=B62,1,A62&lt;&gt;B62,0)</f>
        <v>0</v>
      </c>
      <c r="D62" s="1" t="s">
        <v>44</v>
      </c>
      <c r="E62">
        <v>8</v>
      </c>
    </row>
    <row r="63" spans="1:5" ht="15.75" x14ac:dyDescent="0.25">
      <c r="A63" s="14"/>
      <c r="B63" s="15">
        <v>1</v>
      </c>
      <c r="C63" s="15" cm="1">
        <f t="array" ref="C63">_xlfn.IFS(ISBLANK(A63),0,A63=B63,1,A63&lt;&gt;B63,0)</f>
        <v>0</v>
      </c>
      <c r="D63" s="1" t="s">
        <v>13</v>
      </c>
      <c r="E63">
        <v>8</v>
      </c>
    </row>
    <row r="64" spans="1:5" ht="15.75" x14ac:dyDescent="0.25">
      <c r="A64" s="14"/>
      <c r="B64" s="15">
        <v>0</v>
      </c>
      <c r="C64" s="15" cm="1">
        <f t="array" ref="C64">_xlfn.IFS(ISBLANK(A64),0,A64=B64,1,A64&lt;&gt;B64,0)</f>
        <v>0</v>
      </c>
      <c r="D64" s="1" t="s">
        <v>47</v>
      </c>
      <c r="E64">
        <v>8</v>
      </c>
    </row>
    <row r="65" spans="1:5" ht="15.75" x14ac:dyDescent="0.25">
      <c r="A65" s="14"/>
      <c r="B65" s="15">
        <v>0</v>
      </c>
      <c r="C65" s="15" cm="1">
        <f t="array" ref="C65">_xlfn.IFS(ISBLANK(A65),0,A65=B65,1,A65&lt;&gt;B65,0)</f>
        <v>0</v>
      </c>
      <c r="D65" s="1" t="s">
        <v>46</v>
      </c>
      <c r="E65">
        <v>9</v>
      </c>
    </row>
    <row r="66" spans="1:5" ht="15.75" x14ac:dyDescent="0.25">
      <c r="A66" s="14"/>
      <c r="B66" s="15">
        <v>0</v>
      </c>
      <c r="C66" s="15" cm="1">
        <f t="array" ref="C66">_xlfn.IFS(ISBLANK(A66),0,A66=B66,1,A66&lt;&gt;B66,0)</f>
        <v>0</v>
      </c>
      <c r="D66" s="1" t="s">
        <v>60</v>
      </c>
      <c r="E66">
        <v>9</v>
      </c>
    </row>
    <row r="67" spans="1:5" ht="15.75" x14ac:dyDescent="0.25">
      <c r="A67" s="14"/>
      <c r="B67" s="15">
        <v>1</v>
      </c>
      <c r="C67" s="15" cm="1">
        <f t="array" ref="C67">_xlfn.IFS(ISBLANK(A67),0,A67=B67,1,A67&lt;&gt;B67,0)</f>
        <v>0</v>
      </c>
      <c r="D67" s="1" t="s">
        <v>53</v>
      </c>
      <c r="E67">
        <v>9</v>
      </c>
    </row>
    <row r="68" spans="1:5" ht="16.5" thickBot="1" x14ac:dyDescent="0.3">
      <c r="A68" s="18"/>
      <c r="B68" s="19">
        <v>1</v>
      </c>
      <c r="C68" s="19" cm="1">
        <f t="array" ref="C68">_xlfn.IFS(ISBLANK(A68),0,A68=B68,1,A68&lt;&gt;B68,0)</f>
        <v>0</v>
      </c>
      <c r="D68" s="3" t="s">
        <v>62</v>
      </c>
      <c r="E68">
        <v>9</v>
      </c>
    </row>
    <row r="69" spans="1:5" ht="15.75" x14ac:dyDescent="0.25">
      <c r="A69" s="6" t="s">
        <v>71</v>
      </c>
      <c r="B69" s="13"/>
      <c r="C69" s="12"/>
      <c r="D69" s="5"/>
    </row>
    <row r="70" spans="1:5" x14ac:dyDescent="0.25">
      <c r="A70">
        <f>COUNTA(A3:A68)</f>
        <v>0</v>
      </c>
      <c r="B70" s="12"/>
      <c r="C70" s="4"/>
    </row>
    <row r="71" spans="1:5" x14ac:dyDescent="0.25">
      <c r="A71" s="7" t="s">
        <v>72</v>
      </c>
    </row>
    <row r="72" spans="1:5" x14ac:dyDescent="0.25">
      <c r="A72">
        <f>COUNTA(B3:B68)</f>
        <v>66</v>
      </c>
    </row>
    <row r="73" spans="1:5" x14ac:dyDescent="0.25">
      <c r="A73" s="7" t="s">
        <v>73</v>
      </c>
    </row>
    <row r="74" spans="1:5" x14ac:dyDescent="0.25">
      <c r="A74">
        <f>SUM(C3:C68)</f>
        <v>0</v>
      </c>
    </row>
  </sheetData>
  <sortState xmlns:xlrd2="http://schemas.microsoft.com/office/spreadsheetml/2017/richdata2" ref="A3:E68">
    <sortCondition ref="E3:E68"/>
  </sortState>
  <conditionalFormatting sqref="A3:A68 D3:D68">
    <cfRule type="expression" dxfId="2" priority="1">
      <formula>ISBLANK($A3)</formula>
    </cfRule>
    <cfRule type="expression" dxfId="1" priority="2">
      <formula>NOT($A3=$B3)</formula>
    </cfRule>
    <cfRule type="expression" dxfId="0" priority="3">
      <formula>$A3=$B3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Ankreuz_Alle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Miedtank</dc:creator>
  <cp:lastModifiedBy>Marie Miedtank</cp:lastModifiedBy>
  <dcterms:created xsi:type="dcterms:W3CDTF">2026-05-15T10:52:29Z</dcterms:created>
  <dcterms:modified xsi:type="dcterms:W3CDTF">2026-05-17T12:31:20Z</dcterms:modified>
</cp:coreProperties>
</file>